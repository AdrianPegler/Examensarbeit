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en\Dokumente\_Eigene Dateien\Schule\Moodle\Hausarbeit\"/>
    </mc:Choice>
  </mc:AlternateContent>
  <xr:revisionPtr revIDLastSave="0" documentId="13_ncr:1_{5AC5803E-CED0-4FB8-A3BC-C607AE905AEB}" xr6:coauthVersionLast="45" xr6:coauthVersionMax="45" xr10:uidLastSave="{00000000-0000-0000-0000-000000000000}"/>
  <bookViews>
    <workbookView xWindow="-120" yWindow="-120" windowWidth="29040" windowHeight="16440" xr2:uid="{94A27DA7-7CB8-4789-A451-33A83CAC7062}"/>
  </bookViews>
  <sheets>
    <sheet name="Tabelle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28" i="1" l="1"/>
  <c r="O28" i="1"/>
  <c r="P27" i="1"/>
  <c r="P26" i="1"/>
  <c r="P25" i="1"/>
  <c r="P24" i="1"/>
  <c r="P23" i="1"/>
  <c r="O27" i="1"/>
  <c r="O26" i="1"/>
  <c r="O25" i="1"/>
  <c r="O24" i="1"/>
  <c r="O23" i="1"/>
  <c r="Q4" i="1"/>
  <c r="O4" i="1"/>
  <c r="O20" i="1" s="1"/>
  <c r="S5" i="1"/>
  <c r="S6" i="1"/>
  <c r="P20" i="1"/>
  <c r="J25" i="1" s="1"/>
  <c r="Q20" i="1"/>
  <c r="R20" i="1"/>
  <c r="J26" i="1" s="1"/>
  <c r="S20" i="1"/>
  <c r="T20" i="1"/>
  <c r="J27" i="1" s="1"/>
  <c r="V20" i="1"/>
  <c r="N20" i="1"/>
  <c r="J24" i="1" s="1"/>
  <c r="S4" i="1"/>
  <c r="S7" i="1"/>
  <c r="L20" i="1"/>
  <c r="E20" i="1"/>
  <c r="F20" i="1"/>
  <c r="I25" i="1" s="1"/>
  <c r="G20" i="1"/>
  <c r="H20" i="1"/>
  <c r="I26" i="1" s="1"/>
  <c r="I20" i="1"/>
  <c r="J20" i="1"/>
  <c r="I27" i="1" s="1"/>
  <c r="D20" i="1"/>
  <c r="I24" i="1" s="1"/>
  <c r="I5" i="1"/>
  <c r="I6" i="1"/>
  <c r="I4" i="1"/>
  <c r="K24" i="1" l="1"/>
  <c r="K27" i="1"/>
  <c r="K25" i="1"/>
  <c r="K26" i="1"/>
  <c r="I7" i="1"/>
  <c r="I3" i="1"/>
  <c r="I8" i="1"/>
  <c r="G5" i="1"/>
  <c r="G4" i="1"/>
  <c r="G8" i="1"/>
  <c r="E5" i="1"/>
  <c r="E4" i="1"/>
  <c r="E8" i="1"/>
  <c r="M20" i="1"/>
  <c r="J23" i="1" s="1"/>
  <c r="C20" i="1"/>
  <c r="I23" i="1" s="1"/>
  <c r="K23" i="1" l="1"/>
  <c r="B20" i="1"/>
  <c r="A20" i="1"/>
</calcChain>
</file>

<file path=xl/sharedStrings.xml><?xml version="1.0" encoding="utf-8"?>
<sst xmlns="http://schemas.openxmlformats.org/spreadsheetml/2006/main" count="64" uniqueCount="48">
  <si>
    <t>Kürzel</t>
  </si>
  <si>
    <t>Vortest</t>
  </si>
  <si>
    <t>Modellieren</t>
  </si>
  <si>
    <t>Realmodell</t>
  </si>
  <si>
    <t>Kreuz</t>
  </si>
  <si>
    <t>Mathe. Mod</t>
  </si>
  <si>
    <t>Lsg</t>
  </si>
  <si>
    <t>Validierung</t>
  </si>
  <si>
    <t>Umgang mit Fkt</t>
  </si>
  <si>
    <t>Nachtest</t>
  </si>
  <si>
    <t>Kreuz2</t>
  </si>
  <si>
    <t>Kreuz3</t>
  </si>
  <si>
    <t>Kreuz4</t>
  </si>
  <si>
    <t>Modellieren5</t>
  </si>
  <si>
    <t>Realmodell6</t>
  </si>
  <si>
    <t>Kreuz7</t>
  </si>
  <si>
    <t>Mathe. Mod8</t>
  </si>
  <si>
    <t>Kreuz9</t>
  </si>
  <si>
    <t>Lsg10</t>
  </si>
  <si>
    <t>Kreuz11</t>
  </si>
  <si>
    <t>Validierung12</t>
  </si>
  <si>
    <t>Kreuz13</t>
  </si>
  <si>
    <t>Umgang mit Fkt14</t>
  </si>
  <si>
    <t>SA11SC</t>
  </si>
  <si>
    <t>DI02AN</t>
  </si>
  <si>
    <t>RI11WO</t>
  </si>
  <si>
    <t>DI08BL</t>
  </si>
  <si>
    <t>BE05KA</t>
  </si>
  <si>
    <t>GR10WA</t>
  </si>
  <si>
    <t>PR07SA</t>
  </si>
  <si>
    <t>SC03HE</t>
  </si>
  <si>
    <t>BU01LU</t>
  </si>
  <si>
    <t>IM10HA</t>
  </si>
  <si>
    <t>MO05RE</t>
  </si>
  <si>
    <t>DI09EN</t>
  </si>
  <si>
    <t>WI11SA</t>
  </si>
  <si>
    <t>SC05AMH</t>
  </si>
  <si>
    <t>WI03BR</t>
  </si>
  <si>
    <t>Werten</t>
  </si>
  <si>
    <t>x</t>
  </si>
  <si>
    <t>SA03WI</t>
  </si>
  <si>
    <t>math. Modell</t>
  </si>
  <si>
    <t>math.+ interpr. Lösung</t>
  </si>
  <si>
    <t>gesamter Kreislauf</t>
  </si>
  <si>
    <t>Zuwachs</t>
  </si>
  <si>
    <t>ganzer Kreislauf</t>
  </si>
  <si>
    <t>math. + interpr. Lösung</t>
  </si>
  <si>
    <t>Zuordnung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</si>
</sst>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double">
        <color theme="4"/>
      </left>
      <right/>
      <top/>
      <bottom/>
      <diagonal/>
    </border>
    <border>
      <left style="medium">
        <color theme="0"/>
      </left>
      <right/>
      <top style="medium">
        <color theme="0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2" borderId="4" xfId="0" applyFont="1" applyFill="1" applyBorder="1"/>
    <xf numFmtId="0" fontId="1" fillId="2" borderId="1" xfId="0" applyFont="1" applyFill="1" applyBorder="1"/>
    <xf numFmtId="2" fontId="0" fillId="0" borderId="0" xfId="0" applyNumberFormat="1"/>
    <xf numFmtId="0" fontId="0" fillId="0" borderId="5" xfId="0" applyBorder="1"/>
    <xf numFmtId="0" fontId="0" fillId="0" borderId="6" xfId="0" applyBorder="1"/>
    <xf numFmtId="0" fontId="3" fillId="0" borderId="5" xfId="0" applyFont="1" applyBorder="1"/>
    <xf numFmtId="9" fontId="0" fillId="0" borderId="0" xfId="1" applyFont="1"/>
    <xf numFmtId="2" fontId="0" fillId="0" borderId="5" xfId="0" applyNumberFormat="1" applyBorder="1"/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2">
    <cellStyle name="Prozent" xfId="1" builtinId="5"/>
    <cellStyle name="Standard" xfId="0" builtinId="0"/>
  </cellStyles>
  <dxfs count="25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  <border diagonalUp="0" diagonalDown="0" outline="0">
        <left style="double">
          <color theme="4"/>
        </left>
        <right/>
        <top/>
        <bottom/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  <border diagonalUp="0" diagonalDown="0" outline="0">
        <left style="double">
          <color theme="4"/>
        </left>
        <right/>
        <top/>
        <bottom/>
      </border>
    </dxf>
    <dxf>
      <numFmt numFmtId="2" formatCode="0.00"/>
    </dxf>
    <dxf>
      <numFmt numFmtId="2" formatCode="0.00"/>
    </dxf>
    <dxf>
      <border diagonalUp="0" diagonalDown="0">
        <left style="double">
          <color theme="4"/>
        </left>
        <right/>
        <top/>
        <bottom/>
        <vertical/>
        <horizontal/>
      </border>
    </dxf>
    <dxf>
      <border diagonalUp="0" diagonalDown="0">
        <left style="double">
          <color theme="4"/>
        </left>
        <right/>
        <top/>
        <bottom/>
        <vertical/>
        <horizontal/>
      </border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Aufgabe</a:t>
            </a:r>
            <a:r>
              <a:rPr lang="de-DE" baseline="0"/>
              <a:t>: g</a:t>
            </a:r>
            <a:r>
              <a:rPr lang="de-DE"/>
              <a:t>esamter Kreislauf</a:t>
            </a:r>
            <a:endParaRPr lang="de-DE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Vortest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Tabelle1!$A$3:$A$8</c15:sqref>
                  </c15:fullRef>
                </c:ext>
              </c:extLst>
              <c:f>(Tabelle1!$A$3,Tabelle1!$A$6:$A$7)</c:f>
              <c:strCache>
                <c:ptCount val="3"/>
                <c:pt idx="0">
                  <c:v>DI08BL</c:v>
                </c:pt>
                <c:pt idx="1">
                  <c:v>MO05RE</c:v>
                </c:pt>
                <c:pt idx="2">
                  <c:v>SC03HE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Tabelle1!$C$3:$C$8</c15:sqref>
                  </c15:fullRef>
                </c:ext>
              </c:extLst>
              <c:f>(Tabelle1!$C$3,Tabelle1!$C$6:$C$7)</c:f>
              <c:numCache>
                <c:formatCode>General</c:formatCode>
                <c:ptCount val="3"/>
                <c:pt idx="0">
                  <c:v>2</c:v>
                </c:pt>
                <c:pt idx="1">
                  <c:v>4.5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44-4D00-972B-8631FF09B015}"/>
            </c:ext>
          </c:extLst>
        </c:ser>
        <c:ser>
          <c:idx val="1"/>
          <c:order val="1"/>
          <c:tx>
            <c:v>Nachtest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Tabelle1!$A$3:$A$8</c15:sqref>
                  </c15:fullRef>
                </c:ext>
              </c:extLst>
              <c:f>(Tabelle1!$A$3,Tabelle1!$A$6:$A$7)</c:f>
              <c:strCache>
                <c:ptCount val="3"/>
                <c:pt idx="0">
                  <c:v>DI08BL</c:v>
                </c:pt>
                <c:pt idx="1">
                  <c:v>MO05RE</c:v>
                </c:pt>
                <c:pt idx="2">
                  <c:v>SC03HE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Tabelle1!$M$3:$M$8</c15:sqref>
                  </c15:fullRef>
                </c:ext>
              </c:extLst>
              <c:f>(Tabelle1!$M$3,Tabelle1!$M$6:$M$7)</c:f>
              <c:numCache>
                <c:formatCode>General</c:formatCode>
                <c:ptCount val="3"/>
                <c:pt idx="0">
                  <c:v>4</c:v>
                </c:pt>
                <c:pt idx="1">
                  <c:v>6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44-4D00-972B-8631FF09B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955680"/>
        <c:axId val="6179120"/>
      </c:barChart>
      <c:catAx>
        <c:axId val="7895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79120"/>
        <c:crosses val="autoZero"/>
        <c:auto val="1"/>
        <c:lblAlgn val="ctr"/>
        <c:lblOffset val="100"/>
        <c:noMultiLvlLbl val="0"/>
      </c:catAx>
      <c:valAx>
        <c:axId val="617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895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Tabelle1!$I$22</c:f>
              <c:strCache>
                <c:ptCount val="1"/>
                <c:pt idx="0">
                  <c:v>Vortest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Tabelle1!$H$23:$H$27</c:f>
              <c:strCache>
                <c:ptCount val="5"/>
                <c:pt idx="0">
                  <c:v>gesamter Kreislauf</c:v>
                </c:pt>
                <c:pt idx="1">
                  <c:v>Realmodell</c:v>
                </c:pt>
                <c:pt idx="2">
                  <c:v>math. Modell</c:v>
                </c:pt>
                <c:pt idx="3">
                  <c:v>math.+ interpr. Lösung</c:v>
                </c:pt>
                <c:pt idx="4">
                  <c:v>Validierung</c:v>
                </c:pt>
              </c:strCache>
            </c:strRef>
          </c:cat>
          <c:val>
            <c:numRef>
              <c:f>Tabelle1!$I$23:$I$27</c:f>
              <c:numCache>
                <c:formatCode>0.00</c:formatCode>
                <c:ptCount val="5"/>
                <c:pt idx="0">
                  <c:v>4.416666666666667</c:v>
                </c:pt>
                <c:pt idx="1">
                  <c:v>1.0833333333333333</c:v>
                </c:pt>
                <c:pt idx="2">
                  <c:v>1.5</c:v>
                </c:pt>
                <c:pt idx="3">
                  <c:v>1.75</c:v>
                </c:pt>
                <c:pt idx="4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8-4846-B01F-FF3D8E75F59A}"/>
            </c:ext>
          </c:extLst>
        </c:ser>
        <c:ser>
          <c:idx val="1"/>
          <c:order val="1"/>
          <c:tx>
            <c:strRef>
              <c:f>Tabelle1!$J$22</c:f>
              <c:strCache>
                <c:ptCount val="1"/>
                <c:pt idx="0">
                  <c:v>Nachtest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Tabelle1!$H$23:$H$27</c:f>
              <c:strCache>
                <c:ptCount val="5"/>
                <c:pt idx="0">
                  <c:v>gesamter Kreislauf</c:v>
                </c:pt>
                <c:pt idx="1">
                  <c:v>Realmodell</c:v>
                </c:pt>
                <c:pt idx="2">
                  <c:v>math. Modell</c:v>
                </c:pt>
                <c:pt idx="3">
                  <c:v>math.+ interpr. Lösung</c:v>
                </c:pt>
                <c:pt idx="4">
                  <c:v>Validierung</c:v>
                </c:pt>
              </c:strCache>
            </c:strRef>
          </c:cat>
          <c:val>
            <c:numRef>
              <c:f>Tabelle1!$J$23:$J$27</c:f>
              <c:numCache>
                <c:formatCode>0.00</c:formatCode>
                <c:ptCount val="5"/>
                <c:pt idx="0">
                  <c:v>5</c:v>
                </c:pt>
                <c:pt idx="1">
                  <c:v>1.4</c:v>
                </c:pt>
                <c:pt idx="2">
                  <c:v>2</c:v>
                </c:pt>
                <c:pt idx="3">
                  <c:v>2</c:v>
                </c:pt>
                <c:pt idx="4">
                  <c:v>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C8-4846-B01F-FF3D8E75F59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792266335"/>
        <c:axId val="1584527807"/>
      </c:barChart>
      <c:catAx>
        <c:axId val="179226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84527807"/>
        <c:crosses val="autoZero"/>
        <c:auto val="1"/>
        <c:lblAlgn val="ctr"/>
        <c:lblOffset val="100"/>
        <c:noMultiLvlLbl val="0"/>
      </c:catAx>
      <c:valAx>
        <c:axId val="1584527807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92266335"/>
        <c:crosses val="autoZero"/>
        <c:crossBetween val="between"/>
        <c:majorUnit val="1"/>
        <c:min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Vergleich</a:t>
            </a:r>
            <a:r>
              <a:rPr lang="de-DE" baseline="0"/>
              <a:t> SC03HE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Tabelle1!$O$22</c:f>
              <c:strCache>
                <c:ptCount val="1"/>
                <c:pt idx="0">
                  <c:v>Vortest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Tabelle1!$N$23:$N$28</c:f>
              <c:strCache>
                <c:ptCount val="6"/>
                <c:pt idx="0">
                  <c:v>ganzer Kreislauf</c:v>
                </c:pt>
                <c:pt idx="1">
                  <c:v>Realmodell</c:v>
                </c:pt>
                <c:pt idx="2">
                  <c:v>math. Modell</c:v>
                </c:pt>
                <c:pt idx="3">
                  <c:v>math. + interpr. Lösung</c:v>
                </c:pt>
                <c:pt idx="4">
                  <c:v>Validierung</c:v>
                </c:pt>
                <c:pt idx="5">
                  <c:v>Zuordnung</c:v>
                </c:pt>
              </c:strCache>
            </c:strRef>
          </c:cat>
          <c:val>
            <c:numRef>
              <c:f>Tabelle1!$O$23:$O$28</c:f>
              <c:numCache>
                <c:formatCode>General</c:formatCode>
                <c:ptCount val="6"/>
                <c:pt idx="0">
                  <c:v>6</c:v>
                </c:pt>
                <c:pt idx="1">
                  <c:v>2</c:v>
                </c:pt>
                <c:pt idx="2">
                  <c:v>3</c:v>
                </c:pt>
                <c:pt idx="3">
                  <c:v>2.5</c:v>
                </c:pt>
                <c:pt idx="4">
                  <c:v>2</c:v>
                </c:pt>
                <c:pt idx="5" formatCode="0.00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15-4677-A2E2-30CB502F9ADE}"/>
            </c:ext>
          </c:extLst>
        </c:ser>
        <c:ser>
          <c:idx val="1"/>
          <c:order val="1"/>
          <c:tx>
            <c:strRef>
              <c:f>Tabelle1!$P$22</c:f>
              <c:strCache>
                <c:ptCount val="1"/>
                <c:pt idx="0">
                  <c:v>Nachtest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Tabelle1!$N$23:$N$28</c:f>
              <c:strCache>
                <c:ptCount val="6"/>
                <c:pt idx="0">
                  <c:v>ganzer Kreislauf</c:v>
                </c:pt>
                <c:pt idx="1">
                  <c:v>Realmodell</c:v>
                </c:pt>
                <c:pt idx="2">
                  <c:v>math. Modell</c:v>
                </c:pt>
                <c:pt idx="3">
                  <c:v>math. + interpr. Lösung</c:v>
                </c:pt>
                <c:pt idx="4">
                  <c:v>Validierung</c:v>
                </c:pt>
                <c:pt idx="5">
                  <c:v>Zuordnung</c:v>
                </c:pt>
              </c:strCache>
            </c:strRef>
          </c:cat>
          <c:val>
            <c:numRef>
              <c:f>Tabelle1!$P$23:$P$28</c:f>
              <c:numCache>
                <c:formatCode>General</c:formatCode>
                <c:ptCount val="6"/>
                <c:pt idx="0">
                  <c:v>7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 formatCode="0.00">
                  <c:v>2.1428571428571428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15-4677-A2E2-30CB502F9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9228495"/>
        <c:axId val="1599276895"/>
      </c:barChart>
      <c:catAx>
        <c:axId val="168922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99276895"/>
        <c:crosses val="autoZero"/>
        <c:auto val="1"/>
        <c:lblAlgn val="ctr"/>
        <c:lblOffset val="100"/>
        <c:noMultiLvlLbl val="0"/>
      </c:catAx>
      <c:valAx>
        <c:axId val="159927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8922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20</xdr:row>
      <xdr:rowOff>28575</xdr:rowOff>
    </xdr:from>
    <xdr:to>
      <xdr:col>4</xdr:col>
      <xdr:colOff>333375</xdr:colOff>
      <xdr:row>34</xdr:row>
      <xdr:rowOff>104775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02D2DDB-7877-4DD2-BD14-A02B655DDD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4762</xdr:colOff>
      <xdr:row>20</xdr:row>
      <xdr:rowOff>133350</xdr:rowOff>
    </xdr:from>
    <xdr:to>
      <xdr:col>11</xdr:col>
      <xdr:colOff>552451</xdr:colOff>
      <xdr:row>35</xdr:row>
      <xdr:rowOff>19050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2F54C604-7E1F-45EE-A1B6-BE157E8065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1009650</xdr:colOff>
      <xdr:row>20</xdr:row>
      <xdr:rowOff>123825</xdr:rowOff>
    </xdr:from>
    <xdr:to>
      <xdr:col>16</xdr:col>
      <xdr:colOff>742950</xdr:colOff>
      <xdr:row>35</xdr:row>
      <xdr:rowOff>9525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449196B7-B427-4A19-B3C7-7520E5FEA9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ED476E-39A3-47FD-9915-23324A608C16}" name="Tabelle1" displayName="Tabelle1" ref="A2:V20" totalsRowCount="1" totalsRowDxfId="24">
  <autoFilter ref="A2:V19" xr:uid="{9E152EA5-BFC9-49B3-9D99-982DC9AA3766}"/>
  <sortState xmlns:xlrd2="http://schemas.microsoft.com/office/spreadsheetml/2017/richdata2" ref="A3:V19">
    <sortCondition ref="C2:C19"/>
  </sortState>
  <tableColumns count="22">
    <tableColumn id="1" xr3:uid="{7B532A3E-F307-4864-9CD2-D6A46AA6AF9C}" name="Kürzel" totalsRowFunction="custom" totalsRowDxfId="21">
      <totalsRowFormula>COUNTIF(Tabelle1[Kürzel],"&lt;&gt;")</totalsRowFormula>
    </tableColumn>
    <tableColumn id="22" xr3:uid="{85B03715-D65E-4606-954A-A02D6C6E712A}" name="Werten" totalsRowFunction="custom" totalsRowDxfId="20">
      <totalsRowFormula>COUNTIF(Tabelle1[Werten],"&lt;&gt;")</totalsRowFormula>
    </tableColumn>
    <tableColumn id="2" xr3:uid="{C6C230B5-6ACF-4C3C-B7E3-975329FA6677}" name="Modellieren" totalsRowFunction="average" dataDxfId="23" totalsRowDxfId="19"/>
    <tableColumn id="3" xr3:uid="{CD6999FA-5171-44C3-AF6A-4D7155F0ACE4}" name="Realmodell" totalsRowFunction="average" totalsRowDxfId="18"/>
    <tableColumn id="4" xr3:uid="{77D98426-8D22-4662-A4A1-C098DC622F9B}" name="Kreuz" totalsRowFunction="average" totalsRowDxfId="17"/>
    <tableColumn id="5" xr3:uid="{58EDB126-2F37-4B83-8D9F-9BF826A6259C}" name="Mathe. Mod" totalsRowFunction="average" totalsRowDxfId="16"/>
    <tableColumn id="6" xr3:uid="{4F5E70E4-5267-4D58-BC09-748BCA3C4C74}" name="Kreuz2" totalsRowFunction="average" totalsRowDxfId="15"/>
    <tableColumn id="7" xr3:uid="{5144C067-57EE-427F-A76A-F0B3CCB9F167}" name="Lsg" totalsRowFunction="average" totalsRowDxfId="14"/>
    <tableColumn id="8" xr3:uid="{133186AE-2382-4B0A-93E8-2DC72007E2B0}" name="Kreuz3" totalsRowFunction="average" totalsRowDxfId="13"/>
    <tableColumn id="9" xr3:uid="{C7E4AE4B-7B3E-4BE9-B6CB-DC7015F4635E}" name="Validierung" totalsRowFunction="average" totalsRowDxfId="12"/>
    <tableColumn id="10" xr3:uid="{FC8EEE86-8CA8-4B4F-9040-4C6ECC3D1108}" name="Kreuz4" totalsRowDxfId="11"/>
    <tableColumn id="11" xr3:uid="{121A2984-60CF-4891-A810-E6AB1271C295}" name="Umgang mit Fkt" totalsRowFunction="average" totalsRowDxfId="10"/>
    <tableColumn id="12" xr3:uid="{0929132A-D4F9-46F3-A47C-833A9661D65A}" name="Modellieren5" totalsRowFunction="average" dataDxfId="22" totalsRowDxfId="9"/>
    <tableColumn id="13" xr3:uid="{829B9452-7D2B-4D2C-A5AC-FA7B00214E7A}" name="Realmodell6" totalsRowFunction="average" totalsRowDxfId="8"/>
    <tableColumn id="14" xr3:uid="{E2A98C18-83BD-4C7C-8E5F-C69BE6FDD305}" name="Kreuz7" totalsRowFunction="average" totalsRowDxfId="7"/>
    <tableColumn id="15" xr3:uid="{4F71E046-5DCA-48AA-8130-605E11B0AB5D}" name="Mathe. Mod8" totalsRowFunction="average" totalsRowDxfId="6"/>
    <tableColumn id="16" xr3:uid="{C9017D27-034B-4673-A74B-7875917B963A}" name="Kreuz9" totalsRowFunction="average" totalsRowDxfId="5"/>
    <tableColumn id="17" xr3:uid="{52D2C907-3E0F-4BC6-AED0-CA26240E5B10}" name="Lsg10" totalsRowFunction="average" totalsRowDxfId="4"/>
    <tableColumn id="18" xr3:uid="{A13AB75F-DF5A-4820-ADE5-4D1040D50AD2}" name="Kreuz11" totalsRowFunction="average" totalsRowDxfId="3"/>
    <tableColumn id="19" xr3:uid="{832B14E7-B364-4180-9746-976B6E39E5E6}" name="Validierung12" totalsRowFunction="average" totalsRowDxfId="2"/>
    <tableColumn id="20" xr3:uid="{ECF248FE-12A4-4C13-B303-8E7ACB03BF9B}" name="Kreuz13" totalsRowDxfId="1"/>
    <tableColumn id="21" xr3:uid="{436C6E67-169C-4BA5-A104-66CE3133EEAD}" name="Umgang mit Fkt14" totalsRowFunction="average" totalsRowDxfId="0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700D4-1223-44AF-9484-D69000D660D8}">
  <dimension ref="A1:V28"/>
  <sheetViews>
    <sheetView tabSelected="1" workbookViewId="0">
      <selection activeCell="G11" sqref="G11"/>
    </sheetView>
  </sheetViews>
  <sheetFormatPr baseColWidth="10" defaultRowHeight="15" x14ac:dyDescent="0.25"/>
  <cols>
    <col min="3" max="3" width="14.140625" customWidth="1"/>
    <col min="4" max="4" width="13.28515625" customWidth="1"/>
    <col min="5" max="5" width="11.42578125" customWidth="1"/>
    <col min="6" max="6" width="13.85546875" customWidth="1"/>
    <col min="7" max="9" width="11.42578125" customWidth="1"/>
    <col min="10" max="10" width="13.42578125" customWidth="1"/>
    <col min="11" max="11" width="11.42578125" customWidth="1"/>
    <col min="12" max="12" width="16.85546875" customWidth="1"/>
    <col min="13" max="13" width="15.140625" customWidth="1"/>
    <col min="14" max="14" width="14.28515625" customWidth="1"/>
    <col min="16" max="16" width="14.85546875" customWidth="1"/>
    <col min="20" max="20" width="15.42578125" customWidth="1"/>
    <col min="22" max="22" width="18.85546875" customWidth="1"/>
  </cols>
  <sheetData>
    <row r="1" spans="1:22" ht="15.75" thickBot="1" x14ac:dyDescent="0.3">
      <c r="A1" s="2"/>
      <c r="B1" s="1"/>
      <c r="C1" s="9" t="s">
        <v>1</v>
      </c>
      <c r="D1" s="10"/>
      <c r="E1" s="10"/>
      <c r="F1" s="10"/>
      <c r="G1" s="10"/>
      <c r="H1" s="10"/>
      <c r="I1" s="10"/>
      <c r="J1" s="10"/>
      <c r="K1" s="10"/>
      <c r="L1" s="11"/>
      <c r="M1" s="9" t="s">
        <v>9</v>
      </c>
      <c r="N1" s="10"/>
      <c r="O1" s="10"/>
      <c r="P1" s="10"/>
      <c r="Q1" s="10"/>
      <c r="R1" s="10"/>
      <c r="S1" s="10"/>
      <c r="T1" s="10"/>
      <c r="U1" s="10"/>
      <c r="V1" s="11"/>
    </row>
    <row r="2" spans="1:22" x14ac:dyDescent="0.25">
      <c r="A2" t="s">
        <v>0</v>
      </c>
      <c r="B2" t="s">
        <v>38</v>
      </c>
      <c r="C2" s="5" t="s">
        <v>2</v>
      </c>
      <c r="D2" t="s">
        <v>3</v>
      </c>
      <c r="E2" t="s">
        <v>4</v>
      </c>
      <c r="F2" t="s">
        <v>5</v>
      </c>
      <c r="G2" t="s">
        <v>10</v>
      </c>
      <c r="H2" t="s">
        <v>6</v>
      </c>
      <c r="I2" t="s">
        <v>11</v>
      </c>
      <c r="J2" t="s">
        <v>7</v>
      </c>
      <c r="K2" t="s">
        <v>12</v>
      </c>
      <c r="L2" t="s">
        <v>8</v>
      </c>
      <c r="M2" s="5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</row>
    <row r="3" spans="1:22" x14ac:dyDescent="0.25">
      <c r="A3" t="s">
        <v>26</v>
      </c>
      <c r="B3" t="s">
        <v>39</v>
      </c>
      <c r="C3" s="4">
        <v>2</v>
      </c>
      <c r="D3">
        <v>1</v>
      </c>
      <c r="E3">
        <v>1</v>
      </c>
      <c r="F3">
        <v>1.5</v>
      </c>
      <c r="G3">
        <v>1</v>
      </c>
      <c r="H3">
        <v>1.5</v>
      </c>
      <c r="I3">
        <f>2/3</f>
        <v>0.66666666666666663</v>
      </c>
      <c r="J3">
        <v>0</v>
      </c>
      <c r="M3" s="4">
        <v>4</v>
      </c>
      <c r="N3">
        <v>1</v>
      </c>
      <c r="O3">
        <v>0</v>
      </c>
      <c r="Q3">
        <v>1</v>
      </c>
      <c r="R3">
        <v>1.5</v>
      </c>
      <c r="S3">
        <v>0</v>
      </c>
      <c r="T3">
        <v>1</v>
      </c>
    </row>
    <row r="4" spans="1:22" x14ac:dyDescent="0.25">
      <c r="A4" t="s">
        <v>32</v>
      </c>
      <c r="B4" t="s">
        <v>39</v>
      </c>
      <c r="C4" s="4">
        <v>4</v>
      </c>
      <c r="D4">
        <v>1</v>
      </c>
      <c r="E4" s="3">
        <f>1/5</f>
        <v>0.2</v>
      </c>
      <c r="F4">
        <v>1</v>
      </c>
      <c r="G4">
        <f>2/5</f>
        <v>0.4</v>
      </c>
      <c r="H4">
        <v>1.5</v>
      </c>
      <c r="I4">
        <f>1/3</f>
        <v>0.33333333333333331</v>
      </c>
      <c r="J4">
        <v>1</v>
      </c>
      <c r="M4" s="4">
        <v>4</v>
      </c>
      <c r="N4">
        <v>1</v>
      </c>
      <c r="O4">
        <f>1/7</f>
        <v>0.14285714285714285</v>
      </c>
      <c r="P4">
        <v>2</v>
      </c>
      <c r="Q4">
        <f>2/6</f>
        <v>0.33333333333333331</v>
      </c>
      <c r="R4">
        <v>2.5</v>
      </c>
      <c r="S4">
        <f>2/3</f>
        <v>0.66666666666666663</v>
      </c>
    </row>
    <row r="5" spans="1:22" x14ac:dyDescent="0.25">
      <c r="A5" t="s">
        <v>35</v>
      </c>
      <c r="B5" t="s">
        <v>39</v>
      </c>
      <c r="C5" s="4">
        <v>4</v>
      </c>
      <c r="D5">
        <v>1</v>
      </c>
      <c r="E5">
        <f>1/3</f>
        <v>0.33333333333333331</v>
      </c>
      <c r="F5">
        <v>0</v>
      </c>
      <c r="G5">
        <f>2/5</f>
        <v>0.4</v>
      </c>
      <c r="H5">
        <v>1</v>
      </c>
      <c r="I5">
        <f>2/3</f>
        <v>0.66666666666666663</v>
      </c>
      <c r="J5">
        <v>0</v>
      </c>
      <c r="M5" s="4">
        <v>3</v>
      </c>
      <c r="N5">
        <v>2</v>
      </c>
      <c r="O5">
        <v>0</v>
      </c>
      <c r="P5">
        <v>2</v>
      </c>
      <c r="R5">
        <v>2</v>
      </c>
      <c r="S5">
        <f>1/2</f>
        <v>0.5</v>
      </c>
      <c r="T5">
        <v>0</v>
      </c>
    </row>
    <row r="6" spans="1:22" x14ac:dyDescent="0.25">
      <c r="A6" t="s">
        <v>33</v>
      </c>
      <c r="B6" t="s">
        <v>39</v>
      </c>
      <c r="C6" s="4">
        <v>4.5</v>
      </c>
      <c r="D6">
        <v>1.5</v>
      </c>
      <c r="E6">
        <v>0</v>
      </c>
      <c r="F6">
        <v>1.5</v>
      </c>
      <c r="G6">
        <v>0</v>
      </c>
      <c r="H6">
        <v>1.5</v>
      </c>
      <c r="I6">
        <f>1/3</f>
        <v>0.33333333333333331</v>
      </c>
      <c r="J6">
        <v>0.5</v>
      </c>
      <c r="M6" s="4">
        <v>6</v>
      </c>
      <c r="N6">
        <v>0</v>
      </c>
      <c r="O6">
        <v>0</v>
      </c>
      <c r="P6">
        <v>1</v>
      </c>
      <c r="R6">
        <v>1</v>
      </c>
      <c r="S6">
        <f>2/3</f>
        <v>0.66666666666666663</v>
      </c>
      <c r="T6">
        <v>1</v>
      </c>
    </row>
    <row r="7" spans="1:22" x14ac:dyDescent="0.25">
      <c r="A7" t="s">
        <v>30</v>
      </c>
      <c r="B7" t="s">
        <v>39</v>
      </c>
      <c r="C7" s="4">
        <v>6</v>
      </c>
      <c r="D7">
        <v>2</v>
      </c>
      <c r="E7">
        <v>0</v>
      </c>
      <c r="F7">
        <v>3</v>
      </c>
      <c r="G7">
        <v>0</v>
      </c>
      <c r="H7">
        <v>2.5</v>
      </c>
      <c r="I7">
        <f>2/3</f>
        <v>0.66666666666666663</v>
      </c>
      <c r="J7">
        <v>2</v>
      </c>
      <c r="M7" s="6">
        <v>7</v>
      </c>
      <c r="N7">
        <v>3</v>
      </c>
      <c r="O7">
        <v>1</v>
      </c>
      <c r="P7">
        <v>3</v>
      </c>
      <c r="Q7">
        <v>1</v>
      </c>
      <c r="R7">
        <v>3</v>
      </c>
      <c r="S7">
        <f>1/7</f>
        <v>0.14285714285714285</v>
      </c>
      <c r="T7">
        <v>3</v>
      </c>
    </row>
    <row r="8" spans="1:22" x14ac:dyDescent="0.25">
      <c r="A8" t="s">
        <v>23</v>
      </c>
      <c r="B8" t="s">
        <v>39</v>
      </c>
      <c r="C8" s="4">
        <v>6</v>
      </c>
      <c r="D8">
        <v>0</v>
      </c>
      <c r="E8">
        <f>1/3</f>
        <v>0.33333333333333331</v>
      </c>
      <c r="F8">
        <v>2</v>
      </c>
      <c r="G8">
        <f>1/2</f>
        <v>0.5</v>
      </c>
      <c r="H8">
        <v>2.5</v>
      </c>
      <c r="I8">
        <f>2/3</f>
        <v>0.66666666666666663</v>
      </c>
      <c r="J8">
        <v>1</v>
      </c>
      <c r="M8" s="4">
        <v>6</v>
      </c>
      <c r="O8">
        <v>0</v>
      </c>
      <c r="Q8">
        <v>1</v>
      </c>
      <c r="S8">
        <v>0</v>
      </c>
    </row>
    <row r="9" spans="1:22" x14ac:dyDescent="0.25">
      <c r="A9" t="s">
        <v>24</v>
      </c>
      <c r="C9" s="4"/>
      <c r="M9" s="4"/>
    </row>
    <row r="10" spans="1:22" x14ac:dyDescent="0.25">
      <c r="A10" t="s">
        <v>25</v>
      </c>
      <c r="C10" s="4"/>
      <c r="M10" s="4"/>
    </row>
    <row r="11" spans="1:22" x14ac:dyDescent="0.25">
      <c r="A11" t="s">
        <v>40</v>
      </c>
      <c r="C11" s="4"/>
      <c r="M11" s="4"/>
    </row>
    <row r="12" spans="1:22" x14ac:dyDescent="0.25">
      <c r="A12" t="s">
        <v>27</v>
      </c>
      <c r="C12" s="4"/>
      <c r="M12" s="4"/>
    </row>
    <row r="13" spans="1:22" x14ac:dyDescent="0.25">
      <c r="A13" t="s">
        <v>28</v>
      </c>
      <c r="C13" s="4"/>
      <c r="M13" s="4"/>
    </row>
    <row r="14" spans="1:22" x14ac:dyDescent="0.25">
      <c r="A14" t="s">
        <v>29</v>
      </c>
      <c r="C14" s="4"/>
      <c r="M14" s="4"/>
    </row>
    <row r="15" spans="1:22" x14ac:dyDescent="0.25">
      <c r="A15" t="s">
        <v>31</v>
      </c>
      <c r="B15" t="s">
        <v>39</v>
      </c>
      <c r="C15" s="4"/>
      <c r="M15" s="4"/>
    </row>
    <row r="16" spans="1:22" x14ac:dyDescent="0.25">
      <c r="A16" t="s">
        <v>34</v>
      </c>
      <c r="C16" s="4"/>
      <c r="M16" s="4"/>
    </row>
    <row r="17" spans="1:22" x14ac:dyDescent="0.25">
      <c r="A17" t="s">
        <v>36</v>
      </c>
      <c r="C17" s="4"/>
      <c r="M17" s="4"/>
    </row>
    <row r="18" spans="1:22" x14ac:dyDescent="0.25">
      <c r="A18" t="s">
        <v>37</v>
      </c>
      <c r="C18" s="4"/>
      <c r="M18" s="4"/>
    </row>
    <row r="19" spans="1:22" x14ac:dyDescent="0.25">
      <c r="C19" s="4"/>
      <c r="M19" s="4"/>
    </row>
    <row r="20" spans="1:22" s="3" customFormat="1" x14ac:dyDescent="0.25">
      <c r="A20" s="3">
        <f>COUNTIF(Tabelle1[Kürzel],"&lt;&gt;")</f>
        <v>16</v>
      </c>
      <c r="B20" s="3">
        <f>COUNTIF(Tabelle1[Werten],"&lt;&gt;")</f>
        <v>7</v>
      </c>
      <c r="C20" s="8">
        <f>SUBTOTAL(101,Tabelle1[Modellieren])</f>
        <v>4.416666666666667</v>
      </c>
      <c r="D20" s="3">
        <f>SUBTOTAL(101,Tabelle1[Realmodell])</f>
        <v>1.0833333333333333</v>
      </c>
      <c r="E20" s="3">
        <f>SUBTOTAL(101,Tabelle1[Kreuz])</f>
        <v>0.31111111111111106</v>
      </c>
      <c r="F20" s="3">
        <f>SUBTOTAL(101,Tabelle1[Mathe. Mod])</f>
        <v>1.5</v>
      </c>
      <c r="G20" s="3">
        <f>SUBTOTAL(101,Tabelle1[Kreuz2])</f>
        <v>0.3833333333333333</v>
      </c>
      <c r="H20" s="3">
        <f>SUBTOTAL(101,Tabelle1[Lsg])</f>
        <v>1.75</v>
      </c>
      <c r="I20" s="3">
        <f>SUBTOTAL(101,Tabelle1[Kreuz3])</f>
        <v>0.55555555555555547</v>
      </c>
      <c r="J20" s="3">
        <f>SUBTOTAL(101,Tabelle1[Validierung])</f>
        <v>0.75</v>
      </c>
      <c r="L20" s="3" t="e">
        <f>SUBTOTAL(101,Tabelle1[Umgang mit Fkt])</f>
        <v>#DIV/0!</v>
      </c>
      <c r="M20" s="8">
        <f>SUBTOTAL(101,Tabelle1[Modellieren5])</f>
        <v>5</v>
      </c>
      <c r="N20" s="3">
        <f>SUBTOTAL(101,Tabelle1[Realmodell6])</f>
        <v>1.4</v>
      </c>
      <c r="O20" s="3">
        <f>SUBTOTAL(101,Tabelle1[Kreuz7])</f>
        <v>0.19047619047619047</v>
      </c>
      <c r="P20" s="3">
        <f>SUBTOTAL(101,Tabelle1[Mathe. Mod8])</f>
        <v>2</v>
      </c>
      <c r="Q20" s="3">
        <f>SUBTOTAL(101,Tabelle1[Kreuz9])</f>
        <v>0.83333333333333326</v>
      </c>
      <c r="R20" s="3">
        <f>SUBTOTAL(101,Tabelle1[Lsg10])</f>
        <v>2</v>
      </c>
      <c r="S20" s="3">
        <f>SUBTOTAL(101,Tabelle1[Kreuz11])</f>
        <v>0.32936507936507931</v>
      </c>
      <c r="T20" s="3">
        <f>SUBTOTAL(101,Tabelle1[Validierung12])</f>
        <v>1.25</v>
      </c>
      <c r="V20" s="3" t="e">
        <f>SUBTOTAL(101,Tabelle1[Umgang mit Fkt14])</f>
        <v>#DIV/0!</v>
      </c>
    </row>
    <row r="22" spans="1:22" x14ac:dyDescent="0.25">
      <c r="I22" t="s">
        <v>1</v>
      </c>
      <c r="J22" t="s">
        <v>9</v>
      </c>
      <c r="K22" t="s">
        <v>44</v>
      </c>
      <c r="N22" t="s">
        <v>30</v>
      </c>
      <c r="O22" t="s">
        <v>1</v>
      </c>
      <c r="P22" t="s">
        <v>9</v>
      </c>
    </row>
    <row r="23" spans="1:22" x14ac:dyDescent="0.25">
      <c r="H23" t="s">
        <v>43</v>
      </c>
      <c r="I23" s="3">
        <f>Tabelle1[[#Totals],[Modellieren]]</f>
        <v>4.416666666666667</v>
      </c>
      <c r="J23" s="3">
        <f>Tabelle1[[#Totals],[Modellieren5]]</f>
        <v>5</v>
      </c>
      <c r="K23" s="7">
        <f>J23/I23-1</f>
        <v>0.13207547169811318</v>
      </c>
      <c r="N23" t="s">
        <v>45</v>
      </c>
      <c r="O23">
        <f>C7</f>
        <v>6</v>
      </c>
      <c r="P23">
        <f>M7</f>
        <v>7</v>
      </c>
    </row>
    <row r="24" spans="1:22" x14ac:dyDescent="0.25">
      <c r="H24" t="s">
        <v>3</v>
      </c>
      <c r="I24" s="3">
        <f>Tabelle1[[#Totals],[Realmodell]]</f>
        <v>1.0833333333333333</v>
      </c>
      <c r="J24" s="3">
        <f>Tabelle1[[#Totals],[Realmodell6]]</f>
        <v>1.4</v>
      </c>
      <c r="K24" s="7">
        <f t="shared" ref="K24:K27" si="0">J24/I24-1</f>
        <v>0.29230769230769238</v>
      </c>
      <c r="N24" t="s">
        <v>3</v>
      </c>
      <c r="O24">
        <f>D7</f>
        <v>2</v>
      </c>
      <c r="P24">
        <f>N7</f>
        <v>3</v>
      </c>
    </row>
    <row r="25" spans="1:22" x14ac:dyDescent="0.25">
      <c r="H25" t="s">
        <v>41</v>
      </c>
      <c r="I25" s="3">
        <f>Tabelle1[[#Totals],[Mathe. Mod]]</f>
        <v>1.5</v>
      </c>
      <c r="J25" s="3">
        <f>Tabelle1[[#Totals],[Mathe. Mod8]]</f>
        <v>2</v>
      </c>
      <c r="K25" s="7">
        <f t="shared" si="0"/>
        <v>0.33333333333333326</v>
      </c>
      <c r="N25" t="s">
        <v>41</v>
      </c>
      <c r="O25">
        <f>F7</f>
        <v>3</v>
      </c>
      <c r="P25">
        <f>P7</f>
        <v>3</v>
      </c>
    </row>
    <row r="26" spans="1:22" x14ac:dyDescent="0.25">
      <c r="H26" t="s">
        <v>42</v>
      </c>
      <c r="I26" s="3">
        <f>Tabelle1[[#Totals],[Lsg]]</f>
        <v>1.75</v>
      </c>
      <c r="J26" s="3">
        <f>Tabelle1[[#Totals],[Lsg10]]</f>
        <v>2</v>
      </c>
      <c r="K26" s="7">
        <f t="shared" si="0"/>
        <v>0.14285714285714279</v>
      </c>
      <c r="N26" t="s">
        <v>46</v>
      </c>
      <c r="O26">
        <f>H7</f>
        <v>2.5</v>
      </c>
      <c r="P26">
        <f>R7</f>
        <v>3</v>
      </c>
    </row>
    <row r="27" spans="1:22" x14ac:dyDescent="0.25">
      <c r="H27" t="s">
        <v>7</v>
      </c>
      <c r="I27" s="3">
        <f>Tabelle1[[#Totals],[Validierung]]</f>
        <v>0.75</v>
      </c>
      <c r="J27" s="3">
        <f>Tabelle1[[#Totals],[Validierung12]]</f>
        <v>1.25</v>
      </c>
      <c r="K27" s="7">
        <f t="shared" si="0"/>
        <v>0.66666666666666674</v>
      </c>
      <c r="N27" t="s">
        <v>7</v>
      </c>
      <c r="O27">
        <f>J7</f>
        <v>2</v>
      </c>
      <c r="P27">
        <f>T7</f>
        <v>3</v>
      </c>
    </row>
    <row r="28" spans="1:22" x14ac:dyDescent="0.25">
      <c r="N28" t="s">
        <v>47</v>
      </c>
      <c r="O28" s="3">
        <f>E7+G7+I7</f>
        <v>0.66666666666666663</v>
      </c>
      <c r="P28" s="3">
        <f>O7+Q7+S7</f>
        <v>2.1428571428571428</v>
      </c>
    </row>
  </sheetData>
  <mergeCells count="2">
    <mergeCell ref="C1:L1"/>
    <mergeCell ref="M1:V1"/>
  </mergeCells>
  <pageMargins left="0.7" right="0.7" top="0.78740157499999996" bottom="0.78740157499999996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AdrianPegler</dc:creator>
  <cp:lastModifiedBy>AdrianPegler</cp:lastModifiedBy>
  <dcterms:created xsi:type="dcterms:W3CDTF">2020-01-11T16:26:36Z</dcterms:created>
  <dcterms:modified xsi:type="dcterms:W3CDTF">2020-01-17T17:42:32Z</dcterms:modified>
</cp:coreProperties>
</file>